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74D0A076-0B43-4B6B-998D-549A87160DF7}" xr6:coauthVersionLast="47" xr6:coauthVersionMax="47" xr10:uidLastSave="{00000000-0000-0000-0000-000000000000}"/>
  <bookViews>
    <workbookView xWindow="-120" yWindow="-120" windowWidth="20730" windowHeight="11040" xr2:uid="{FF933EB9-DE60-4483-8977-B8064AF6E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J13" i="1"/>
  <c r="N3" i="1"/>
  <c r="E16" i="1"/>
  <c r="F10" i="1"/>
  <c r="J9" i="1"/>
  <c r="J6" i="1"/>
  <c r="J3" i="1"/>
</calcChain>
</file>

<file path=xl/sharedStrings.xml><?xml version="1.0" encoding="utf-8"?>
<sst xmlns="http://schemas.openxmlformats.org/spreadsheetml/2006/main" count="34" uniqueCount="27">
  <si>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</si>
  <si>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</si>
  <si>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</si>
  <si>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</si>
  <si>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</si>
  <si>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</si>
  <si>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</si>
  <si>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</si>
  <si>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</si>
  <si>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</si>
  <si>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</si>
  <si>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</si>
  <si>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</si>
  <si>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</si>
  <si>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</si>
  <si>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</si>
  <si>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</si>
  <si>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Sales</t>
  </si>
  <si>
    <t>Sales in march</t>
  </si>
  <si>
    <t>Category for ProdE</t>
  </si>
  <si>
    <t>The maximum sales for Product B across all months</t>
  </si>
  <si>
    <t>Find the month with the maximum sales for Product A</t>
  </si>
  <si>
    <t>month</t>
  </si>
  <si>
    <t>Total sales for Apr</t>
  </si>
  <si>
    <t>Avg Sales for ProdD</t>
  </si>
  <si>
    <t>The sales for Product ID 105 in May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</si>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</sst>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1" fillId="10" borderId="1" xfId="0" applyFont="1" applyFill="1" applyBorder="1"/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0" fillId="7" borderId="1" xfId="0" applyFill="1" applyBorder="1"/>
    <xf numFmtId="0" fontId="1" fillId="13" borderId="1" xfId="0" applyFont="1" applyFill="1" applyBorder="1"/>
    <xf numFmtId="0" fontId="0" fillId="14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5" borderId="1" xfId="0" applyFont="1" applyFill="1" applyBorder="1"/>
    <xf numFmtId="0" fontId="0" fillId="16" borderId="1" xfId="0" applyFill="1" applyBorder="1"/>
    <xf numFmtId="0" fontId="1" fillId="17" borderId="1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0" borderId="4" xfId="0" applyFont="1" applyFill="1" applyBorder="1"/>
    <xf numFmtId="0" fontId="0" fillId="11" borderId="4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217B-BA65-4D04-A10E-FD85583A39B7}">
  <dimension ref="A1:N16"/>
  <sheetViews>
    <sheetView tabSelected="1" workbookViewId="0">
      <selection activeCell="I12" sqref="I12"/>
    </sheetView>
  </sheetViews>
  <sheetFormatPr defaultRowHeight="15" x14ac:dyDescent="0.25"/>
  <cols>
    <col min="1" max="1" width="10.28515625" customWidth="1"/>
    <col min="3" max="3" width="10.85546875" customWidth="1"/>
    <col min="5" max="5" width="10.42578125" customWidth="1"/>
    <col min="6" max="6" width="11.85546875" customWidth="1"/>
    <col min="8" max="8" width="11.5703125" customWidth="1"/>
    <col min="10" max="10" width="17.28515625" customWidth="1"/>
    <col min="11" max="11" width="9.42578125" customWidth="1"/>
  </cols>
  <sheetData>
    <row r="1" spans="1:14" ht="23.25" customHeight="1" x14ac:dyDescent="0.25">
      <c r="A1" s="7" t="s">
        <v>0</v>
      </c>
      <c r="B1" s="9" t="s">
        <v>1</v>
      </c>
      <c r="C1" s="11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14" ht="17.25" customHeight="1" x14ac:dyDescent="0.25">
      <c r="A2" s="8">
        <v>101</v>
      </c>
      <c r="B2" s="10" t="s">
        <v>8</v>
      </c>
      <c r="C2" s="12" t="s">
        <v>9</v>
      </c>
      <c r="D2" s="14">
        <v>120</v>
      </c>
      <c r="E2" s="14">
        <v>130</v>
      </c>
      <c r="F2" s="14">
        <v>140</v>
      </c>
      <c r="G2" s="14">
        <v>150</v>
      </c>
      <c r="H2" s="14">
        <v>160</v>
      </c>
      <c r="J2" s="21" t="s">
        <v>18</v>
      </c>
      <c r="L2" s="25" t="s">
        <v>1</v>
      </c>
      <c r="M2" s="25" t="s">
        <v>26</v>
      </c>
      <c r="N2" s="25" t="s">
        <v>17</v>
      </c>
    </row>
    <row r="3" spans="1:14" ht="18" customHeight="1" x14ac:dyDescent="0.25">
      <c r="A3" s="8">
        <v>102</v>
      </c>
      <c r="B3" s="10" t="s">
        <v>10</v>
      </c>
      <c r="C3" s="12" t="s">
        <v>11</v>
      </c>
      <c r="D3" s="14">
        <v>150</v>
      </c>
      <c r="E3" s="14">
        <v>160</v>
      </c>
      <c r="F3" s="14">
        <v>170</v>
      </c>
      <c r="G3" s="14">
        <v>180</v>
      </c>
      <c r="H3" s="14">
        <v>190</v>
      </c>
      <c r="J3" s="22">
        <f>INDEX(F2:F7, MATCH("PRODC", B2:B7, 0))</f>
        <v>220</v>
      </c>
      <c r="L3" s="1" t="s">
        <v>8</v>
      </c>
      <c r="M3" s="1" t="s">
        <v>6</v>
      </c>
      <c r="N3" s="1">
        <f>INDEX(D2:H7, MATCH(L3, B2:B7, 0), MATCH(M3, D1:H1, 0))</f>
        <v>150</v>
      </c>
    </row>
    <row r="4" spans="1:14" ht="18" customHeight="1" x14ac:dyDescent="0.25">
      <c r="A4" s="8">
        <v>103</v>
      </c>
      <c r="B4" s="10" t="s">
        <v>12</v>
      </c>
      <c r="C4" s="12" t="s">
        <v>9</v>
      </c>
      <c r="D4" s="14">
        <v>200</v>
      </c>
      <c r="E4" s="14">
        <v>210</v>
      </c>
      <c r="F4" s="14">
        <v>220</v>
      </c>
      <c r="G4" s="14">
        <v>230</v>
      </c>
      <c r="H4" s="14">
        <v>240</v>
      </c>
    </row>
    <row r="5" spans="1:14" x14ac:dyDescent="0.25">
      <c r="A5" s="8">
        <v>104</v>
      </c>
      <c r="B5" s="10" t="s">
        <v>13</v>
      </c>
      <c r="C5" s="12" t="s">
        <v>14</v>
      </c>
      <c r="D5" s="14">
        <v>90</v>
      </c>
      <c r="E5" s="14">
        <v>100</v>
      </c>
      <c r="F5" s="14">
        <v>110</v>
      </c>
      <c r="G5" s="14">
        <v>120</v>
      </c>
      <c r="H5" s="14">
        <v>130</v>
      </c>
      <c r="J5" s="23" t="s">
        <v>19</v>
      </c>
    </row>
    <row r="6" spans="1:14" ht="18" customHeight="1" x14ac:dyDescent="0.25">
      <c r="A6" s="8">
        <v>105</v>
      </c>
      <c r="B6" s="10" t="s">
        <v>15</v>
      </c>
      <c r="C6" s="12" t="s">
        <v>11</v>
      </c>
      <c r="D6" s="14">
        <v>220</v>
      </c>
      <c r="E6" s="14">
        <v>230</v>
      </c>
      <c r="F6" s="14">
        <v>240</v>
      </c>
      <c r="G6" s="14">
        <v>250</v>
      </c>
      <c r="H6" s="14">
        <v>260</v>
      </c>
      <c r="J6" s="24" t="str">
        <f>INDEX(C2:C7, MATCH("PRODE", B2:B7, 0))</f>
        <v>Furniture</v>
      </c>
    </row>
    <row r="7" spans="1:14" ht="16.5" customHeight="1" x14ac:dyDescent="0.25">
      <c r="A7" s="8">
        <v>106</v>
      </c>
      <c r="B7" s="10" t="s">
        <v>16</v>
      </c>
      <c r="C7" s="12" t="s">
        <v>9</v>
      </c>
      <c r="D7" s="14">
        <v>130</v>
      </c>
      <c r="E7" s="14">
        <v>140</v>
      </c>
      <c r="F7" s="14">
        <v>150</v>
      </c>
      <c r="G7" s="14">
        <v>160</v>
      </c>
      <c r="H7" s="14">
        <v>170</v>
      </c>
    </row>
    <row r="8" spans="1:14" x14ac:dyDescent="0.25">
      <c r="J8" s="26" t="s">
        <v>20</v>
      </c>
      <c r="K8" s="27"/>
      <c r="L8" s="27"/>
      <c r="M8" s="28"/>
    </row>
    <row r="9" spans="1:14" x14ac:dyDescent="0.25">
      <c r="E9" s="30"/>
      <c r="F9" s="31" t="s">
        <v>23</v>
      </c>
      <c r="G9" s="15"/>
      <c r="J9" s="3">
        <f>MAX(INDEX(D2:H7, MATCH("PRODB", B2:B7, 0), 0))</f>
        <v>190</v>
      </c>
      <c r="K9" s="4"/>
      <c r="L9" s="4"/>
      <c r="M9" s="5"/>
    </row>
    <row r="10" spans="1:14" x14ac:dyDescent="0.25">
      <c r="E10" s="33"/>
      <c r="F10" s="32">
        <f>SUMIF(C2:C7, "Electronics", INDEX(G2:G7, 0))</f>
        <v>540</v>
      </c>
    </row>
    <row r="11" spans="1:14" x14ac:dyDescent="0.25">
      <c r="J11" s="29" t="s">
        <v>21</v>
      </c>
      <c r="K11" s="29"/>
      <c r="L11" s="29"/>
      <c r="M11" s="29"/>
      <c r="N11" s="29"/>
    </row>
    <row r="12" spans="1:14" x14ac:dyDescent="0.25">
      <c r="D12" s="16" t="s">
        <v>14</v>
      </c>
      <c r="E12" s="17" t="s">
        <v>24</v>
      </c>
      <c r="F12" s="17"/>
      <c r="J12" s="2" t="s">
        <v>22</v>
      </c>
      <c r="K12" s="6"/>
      <c r="L12" s="6"/>
      <c r="M12" s="6"/>
      <c r="N12" s="6"/>
    </row>
    <row r="13" spans="1:14" x14ac:dyDescent="0.25">
      <c r="E13" s="18">
        <f>AVERAGE(INDEX(D2:H7, MATCH("PRODD", B2:B7, 0), 0))</f>
        <v>110</v>
      </c>
      <c r="J13" s="2" t="str">
        <f>INDEX(D1:H1, MATCH(MAX(INDEX(D2:H7, MATCH("PRODA", B2:B7, 0), 0)), INDEX(D2:H7, MATCH("PRODA", B2:B7, 0), 0), 0))</f>
        <v>May Sales</v>
      </c>
      <c r="K13" s="6"/>
      <c r="L13" s="6"/>
      <c r="M13" s="6"/>
      <c r="N13" s="6"/>
    </row>
    <row r="15" spans="1:14" x14ac:dyDescent="0.25">
      <c r="E15" s="19" t="s">
        <v>25</v>
      </c>
      <c r="F15" s="19"/>
      <c r="G15" s="19"/>
    </row>
    <row r="16" spans="1:14" x14ac:dyDescent="0.25">
      <c r="E16" s="20">
        <f>INDEX(H2:H7, MATCH(105, A2:A7, 0))</f>
        <v>260</v>
      </c>
    </row>
  </sheetData>
  <mergeCells count="3">
    <mergeCell ref="J9:M9"/>
    <mergeCell ref="J8:M8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2025-12-06T08:34:45Z</dcterms:created>
  <dcterms:modified xsi:type="dcterms:W3CDTF">2025-12-06T09:32:43Z</dcterms:modified>
</cp:coreProperties>
</file>