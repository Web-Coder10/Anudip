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4dc61263e056bfa/Documents/"/>
    </mc:Choice>
  </mc:AlternateContent>
  <xr:revisionPtr revIDLastSave="0" documentId="8_{08824E3B-39DA-4C0A-933E-0FB97DFE6DE1}" xr6:coauthVersionLast="47" xr6:coauthVersionMax="47" xr10:uidLastSave="{00000000-0000-0000-0000-000000000000}"/>
  <bookViews>
    <workbookView xWindow="-120" yWindow="-120" windowWidth="20730" windowHeight="11040" activeTab="2" xr2:uid="{C21E3638-125F-41C9-870B-0A0231D5EEC7}"/>
  </bookViews>
  <sheets>
    <sheet name="vlookup worksheet 1" sheetId="4" r:id="rId1"/>
    <sheet name="vlookup worksheet 2" sheetId="3" r:id="rId2"/>
    <sheet name="IF Statement" sheetId="2" r:id="rId3"/>
    <sheet name="Q1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2" l="1"/>
  <c r="M5" i="2"/>
  <c r="M6" i="2"/>
  <c r="M7" i="2"/>
  <c r="M8" i="2"/>
  <c r="M9" i="2"/>
  <c r="M4" i="2"/>
  <c r="L5" i="2"/>
  <c r="L6" i="2"/>
  <c r="L7" i="2"/>
  <c r="L8" i="2"/>
  <c r="L9" i="2"/>
  <c r="L4" i="2"/>
  <c r="K5" i="2"/>
  <c r="K6" i="2"/>
  <c r="K7" i="2"/>
  <c r="K8" i="2"/>
  <c r="K9" i="2"/>
  <c r="K4" i="2"/>
  <c r="J5" i="2"/>
  <c r="J6" i="2"/>
  <c r="J7" i="2"/>
  <c r="J8" i="2"/>
  <c r="J9" i="2"/>
  <c r="J4" i="2"/>
  <c r="I5" i="2"/>
  <c r="I6" i="2"/>
  <c r="I7" i="2"/>
  <c r="I8" i="2"/>
  <c r="I9" i="2"/>
  <c r="I4" i="2"/>
  <c r="H5" i="2"/>
  <c r="H6" i="2"/>
  <c r="H7" i="2"/>
  <c r="H8" i="2"/>
  <c r="H9" i="2"/>
  <c r="G5" i="2"/>
  <c r="G6" i="2"/>
  <c r="G7" i="2"/>
  <c r="G8" i="2"/>
  <c r="G9" i="2"/>
  <c r="G4" i="2"/>
  <c r="F5" i="2"/>
  <c r="F6" i="2"/>
  <c r="F7" i="2"/>
  <c r="F8" i="2"/>
  <c r="F9" i="2"/>
  <c r="F4" i="2"/>
</calcChain>
</file>

<file path=xl/sharedStrings.xml><?xml version="1.0" encoding="utf-8"?>
<sst xmlns="http://schemas.openxmlformats.org/spreadsheetml/2006/main" count="39" uniqueCount="27">
  <si>
    <t>Product</t>
  </si>
  <si>
    <t>Price</t>
  </si>
  <si>
    <t>Product ID</t>
  </si>
  <si>
    <t>Product A</t>
  </si>
  <si>
    <t>Product B</t>
  </si>
  <si>
    <t>Product C</t>
  </si>
  <si>
    <t>Product D</t>
  </si>
  <si>
    <t>Product E</t>
  </si>
  <si>
    <t>Product F</t>
  </si>
  <si>
    <t>Order ID</t>
  </si>
  <si>
    <t>Quantity</t>
  </si>
  <si>
    <t>TotalPrice</t>
  </si>
  <si>
    <t>Work sheet 1</t>
  </si>
  <si>
    <t>Sales</t>
  </si>
  <si>
    <t>Target</t>
  </si>
  <si>
    <t>Region</t>
  </si>
  <si>
    <t>North</t>
  </si>
  <si>
    <t>South</t>
  </si>
  <si>
    <t>East</t>
  </si>
  <si>
    <t>West</t>
  </si>
  <si>
    <t>Target Complete</t>
  </si>
  <si>
    <t>Bonus</t>
  </si>
  <si>
    <t>Commission</t>
  </si>
  <si>
    <t>Performance</t>
  </si>
  <si>
    <t>Price Tier</t>
  </si>
  <si>
    <t>Year End Bonus</t>
  </si>
  <si>
    <t>Performer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</si>
</sst>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006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3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9" borderId="1" xfId="0" applyFill="1" applyBorder="1"/>
    <xf numFmtId="0" fontId="0" fillId="11" borderId="1" xfId="0" applyFill="1" applyBorder="1"/>
    <xf numFmtId="0" fontId="0" fillId="13" borderId="1" xfId="0" applyFill="1" applyBorder="1"/>
    <xf numFmtId="0" fontId="0" fillId="15" borderId="1" xfId="0" applyFill="1" applyBorder="1"/>
    <xf numFmtId="0" fontId="0" fillId="17" borderId="1" xfId="0" applyFill="1" applyBorder="1"/>
    <xf numFmtId="0" fontId="0" fillId="18" borderId="1" xfId="0" applyFill="1" applyBorder="1"/>
    <xf numFmtId="0" fontId="0" fillId="21" borderId="1" xfId="0" applyFill="1" applyBorder="1"/>
    <xf numFmtId="0" fontId="0" fillId="22" borderId="1" xfId="0" applyFill="1" applyBorder="1"/>
    <xf numFmtId="0" fontId="1" fillId="2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8" borderId="1" xfId="0" applyFont="1" applyFill="1" applyBorder="1"/>
    <xf numFmtId="0" fontId="1" fillId="10" borderId="1" xfId="0" applyFont="1" applyFill="1" applyBorder="1"/>
    <xf numFmtId="0" fontId="1" fillId="12" borderId="1" xfId="0" applyFont="1" applyFill="1" applyBorder="1"/>
    <xf numFmtId="0" fontId="1" fillId="14" borderId="1" xfId="0" applyFont="1" applyFill="1" applyBorder="1"/>
    <xf numFmtId="0" fontId="1" fillId="16" borderId="1" xfId="0" applyFont="1" applyFill="1" applyBorder="1"/>
    <xf numFmtId="0" fontId="1" fillId="19" borderId="1" xfId="0" applyFont="1" applyFill="1" applyBorder="1"/>
    <xf numFmtId="0" fontId="1" fillId="20" borderId="1" xfId="0" applyFont="1" applyFill="1" applyBorder="1"/>
    <xf numFmtId="0" fontId="1" fillId="23" borderId="1" xfId="0" applyFont="1" applyFill="1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0C0BB-F935-4824-982F-4BCF0D2DA171}">
  <dimension ref="A1:C7"/>
  <sheetViews>
    <sheetView workbookViewId="0">
      <selection activeCell="B2" sqref="B2"/>
    </sheetView>
  </sheetViews>
  <sheetFormatPr defaultRowHeight="15" x14ac:dyDescent="0.25"/>
  <cols>
    <col min="1" max="1" width="10.7109375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>
        <v>101</v>
      </c>
      <c r="B2" t="s">
        <v>3</v>
      </c>
      <c r="C2">
        <v>120</v>
      </c>
    </row>
    <row r="3" spans="1:3" x14ac:dyDescent="0.25">
      <c r="A3">
        <v>102</v>
      </c>
      <c r="B3" t="s">
        <v>4</v>
      </c>
      <c r="C3">
        <v>150</v>
      </c>
    </row>
    <row r="4" spans="1:3" x14ac:dyDescent="0.25">
      <c r="A4">
        <v>103</v>
      </c>
      <c r="B4" t="s">
        <v>5</v>
      </c>
      <c r="C4">
        <v>200</v>
      </c>
    </row>
    <row r="5" spans="1:3" x14ac:dyDescent="0.25">
      <c r="A5">
        <v>104</v>
      </c>
      <c r="B5" t="s">
        <v>6</v>
      </c>
      <c r="C5">
        <v>90</v>
      </c>
    </row>
    <row r="6" spans="1:3" x14ac:dyDescent="0.25">
      <c r="A6">
        <v>105</v>
      </c>
      <c r="B6" t="s">
        <v>7</v>
      </c>
      <c r="C6">
        <v>220</v>
      </c>
    </row>
    <row r="7" spans="1:3" x14ac:dyDescent="0.25">
      <c r="A7">
        <v>106</v>
      </c>
      <c r="B7" t="s">
        <v>8</v>
      </c>
      <c r="C7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1E6E6-4BED-4992-8798-AE046ECEAEE7}">
  <dimension ref="A1:D7"/>
  <sheetViews>
    <sheetView workbookViewId="0">
      <selection activeCell="B1" sqref="B1"/>
    </sheetView>
  </sheetViews>
  <sheetFormatPr defaultRowHeight="15" x14ac:dyDescent="0.25"/>
  <cols>
    <col min="1" max="1" width="10.7109375" customWidth="1"/>
    <col min="2" max="2" width="10.42578125" customWidth="1"/>
    <col min="4" max="4" width="9.5703125" customWidth="1"/>
  </cols>
  <sheetData>
    <row r="1" spans="1:4" x14ac:dyDescent="0.25">
      <c r="A1" t="s">
        <v>9</v>
      </c>
      <c r="B1" t="s">
        <v>2</v>
      </c>
      <c r="C1" t="s">
        <v>10</v>
      </c>
      <c r="D1" t="s">
        <v>11</v>
      </c>
    </row>
    <row r="2" spans="1:4" x14ac:dyDescent="0.25">
      <c r="A2">
        <v>1</v>
      </c>
      <c r="B2">
        <v>101</v>
      </c>
      <c r="C2">
        <v>120</v>
      </c>
    </row>
    <row r="3" spans="1:4" x14ac:dyDescent="0.25">
      <c r="A3">
        <v>2</v>
      </c>
      <c r="B3">
        <v>103</v>
      </c>
      <c r="C3">
        <v>150</v>
      </c>
    </row>
    <row r="4" spans="1:4" x14ac:dyDescent="0.25">
      <c r="A4">
        <v>3</v>
      </c>
      <c r="B4">
        <v>105</v>
      </c>
      <c r="C4">
        <v>200</v>
      </c>
    </row>
    <row r="5" spans="1:4" x14ac:dyDescent="0.25">
      <c r="A5">
        <v>4</v>
      </c>
      <c r="B5">
        <v>106</v>
      </c>
      <c r="C5">
        <v>90</v>
      </c>
    </row>
    <row r="6" spans="1:4" x14ac:dyDescent="0.25">
      <c r="A6">
        <v>5</v>
      </c>
      <c r="B6">
        <v>102</v>
      </c>
      <c r="C6">
        <v>220</v>
      </c>
    </row>
    <row r="7" spans="1:4" x14ac:dyDescent="0.25">
      <c r="A7">
        <v>6</v>
      </c>
      <c r="B7">
        <v>104</v>
      </c>
      <c r="C7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87999-B436-4811-B7D7-28D4B6D59F93}">
  <dimension ref="A1:M9"/>
  <sheetViews>
    <sheetView tabSelected="1" workbookViewId="0">
      <selection activeCell="G16" sqref="G16"/>
    </sheetView>
  </sheetViews>
  <sheetFormatPr defaultRowHeight="15" x14ac:dyDescent="0.25"/>
  <cols>
    <col min="1" max="1" width="10.28515625" customWidth="1"/>
    <col min="6" max="6" width="15.5703125" customWidth="1"/>
    <col min="7" max="7" width="11.7109375" customWidth="1"/>
    <col min="8" max="8" width="12.140625" customWidth="1"/>
    <col min="10" max="10" width="19.7109375" customWidth="1"/>
    <col min="12" max="12" width="14.42578125" customWidth="1"/>
    <col min="13" max="13" width="20.140625" customWidth="1"/>
  </cols>
  <sheetData>
    <row r="1" spans="1:13" ht="28.5" x14ac:dyDescent="0.45">
      <c r="H1" s="23" t="s">
        <v>12</v>
      </c>
      <c r="I1" s="23"/>
      <c r="J1" s="23"/>
    </row>
    <row r="3" spans="1:13" x14ac:dyDescent="0.25">
      <c r="A3" s="12" t="s">
        <v>2</v>
      </c>
      <c r="B3" s="13" t="s">
        <v>0</v>
      </c>
      <c r="C3" s="14" t="s">
        <v>13</v>
      </c>
      <c r="D3" s="15" t="s">
        <v>14</v>
      </c>
      <c r="E3" s="16" t="s">
        <v>15</v>
      </c>
      <c r="F3" s="17" t="s">
        <v>20</v>
      </c>
      <c r="G3" s="18" t="s">
        <v>21</v>
      </c>
      <c r="H3" s="19" t="s">
        <v>22</v>
      </c>
      <c r="I3" s="20" t="s">
        <v>21</v>
      </c>
      <c r="J3" s="21" t="s">
        <v>23</v>
      </c>
      <c r="K3" s="12" t="s">
        <v>24</v>
      </c>
      <c r="L3" s="22" t="s">
        <v>25</v>
      </c>
      <c r="M3" s="21" t="s">
        <v>26</v>
      </c>
    </row>
    <row r="4" spans="1:13" x14ac:dyDescent="0.25">
      <c r="A4" s="1">
        <v>101</v>
      </c>
      <c r="B4" s="3" t="s">
        <v>3</v>
      </c>
      <c r="C4" s="2">
        <v>120</v>
      </c>
      <c r="D4" s="4">
        <v>150</v>
      </c>
      <c r="E4" s="5" t="s">
        <v>16</v>
      </c>
      <c r="F4" s="6" t="str">
        <f>IF(AND(C4&gt;=D4),"Yes","No")</f>
        <v>No</v>
      </c>
      <c r="G4" s="7" t="str">
        <f>IF(AND(E4="North",C4&gt;=200),"Eligible","Not Eligible")</f>
        <v>Not Eligible</v>
      </c>
      <c r="H4" s="8" t="str">
        <f>IF(C4&gt;=200,"10%",IF(C4&gt;=150,"7%","5%"))</f>
        <v>5%</v>
      </c>
      <c r="I4" s="9">
        <f>IF(C4&gt;=D4,0.1*C4,0.05*C4)</f>
        <v>6</v>
      </c>
      <c r="J4" s="10" t="str">
        <f>IF(C4&gt;=200,"Excellent",IF(C4&gt;=150,"Good","Need Improvement"))</f>
        <v>Need Improvement</v>
      </c>
      <c r="K4" s="1" t="str">
        <f>IF(C4&gt;200, "High",IF(AND(C4&gt;100,
C4
&lt;200), "Medium","low"))</f>
        <v>Medium</v>
      </c>
      <c r="L4" s="11">
        <f>IF(AND(C4 &gt;=150, E4 ="North"),500,300)</f>
        <v>300</v>
      </c>
      <c r="M4" s="10" t="str">
        <f>IF(C4&gt;=PERCENTILE($C$4:$C$9,0.75),"High Performer","Not a High Performer")</f>
        <v>Not a High Performer</v>
      </c>
    </row>
    <row r="5" spans="1:13" x14ac:dyDescent="0.25">
      <c r="A5" s="1">
        <v>102</v>
      </c>
      <c r="B5" s="3" t="s">
        <v>4</v>
      </c>
      <c r="C5" s="2">
        <v>150</v>
      </c>
      <c r="D5" s="4">
        <v>140</v>
      </c>
      <c r="E5" s="5" t="s">
        <v>17</v>
      </c>
      <c r="F5" s="6" t="str">
        <f t="shared" ref="F5:F9" si="0">IF(AND(C5&gt;=D5),"Yes","No")</f>
        <v>Yes</v>
      </c>
      <c r="G5" s="7" t="str">
        <f t="shared" ref="G5:G9" si="1">IF(AND(E5="North",C5&gt;=200),"Eligible","Not Eligible")</f>
        <v>Not Eligible</v>
      </c>
      <c r="H5" s="8" t="str">
        <f t="shared" ref="H5:H9" si="2">IF(C5&gt;=200,"10%",IF(C5&gt;=150,"7%","5%"))</f>
        <v>7%</v>
      </c>
      <c r="I5" s="9">
        <f t="shared" ref="I5:I9" si="3">IF(C5&gt;=D5,0.1*C5,0.05*C5)</f>
        <v>15</v>
      </c>
      <c r="J5" s="10" t="str">
        <f t="shared" ref="J5:J9" si="4">IF(C5&gt;=200,"Excellent",IF(C5&gt;=150,"Good","Need Improvement"))</f>
        <v>Good</v>
      </c>
      <c r="K5" s="1" t="str">
        <f t="shared" ref="K5:K9" si="5">IF(C5&gt;200, "High",IF(AND(C5&gt;100,
C5
&lt;200), "Medium","low"))</f>
        <v>Medium</v>
      </c>
      <c r="L5" s="11">
        <f t="shared" ref="L5:L9" si="6">IF(AND(C5 &gt;=150, E5 ="North"),500,300)</f>
        <v>300</v>
      </c>
      <c r="M5" s="10" t="str">
        <f t="shared" ref="M5:M9" si="7">IF(C5&gt;=PERCENTILE($C$4:$C$9,0.75),"High Performer","Not a High Performer")</f>
        <v>Not a High Performer</v>
      </c>
    </row>
    <row r="6" spans="1:13" x14ac:dyDescent="0.25">
      <c r="A6" s="1">
        <v>103</v>
      </c>
      <c r="B6" s="3" t="s">
        <v>5</v>
      </c>
      <c r="C6" s="2">
        <v>200</v>
      </c>
      <c r="D6" s="4">
        <v>200</v>
      </c>
      <c r="E6" s="5" t="s">
        <v>18</v>
      </c>
      <c r="F6" s="6" t="str">
        <f t="shared" si="0"/>
        <v>Yes</v>
      </c>
      <c r="G6" s="7" t="str">
        <f t="shared" si="1"/>
        <v>Not Eligible</v>
      </c>
      <c r="H6" s="8" t="str">
        <f t="shared" si="2"/>
        <v>10%</v>
      </c>
      <c r="I6" s="9">
        <f t="shared" si="3"/>
        <v>20</v>
      </c>
      <c r="J6" s="10" t="str">
        <f t="shared" si="4"/>
        <v>Excellent</v>
      </c>
      <c r="K6" s="1" t="str">
        <f t="shared" si="5"/>
        <v>low</v>
      </c>
      <c r="L6" s="11">
        <f t="shared" si="6"/>
        <v>300</v>
      </c>
      <c r="M6" s="10" t="str">
        <f t="shared" si="7"/>
        <v>High Performer</v>
      </c>
    </row>
    <row r="7" spans="1:13" x14ac:dyDescent="0.25">
      <c r="A7" s="1">
        <v>104</v>
      </c>
      <c r="B7" s="3" t="s">
        <v>6</v>
      </c>
      <c r="C7" s="2">
        <v>90</v>
      </c>
      <c r="D7" s="4">
        <v>100</v>
      </c>
      <c r="E7" s="5" t="s">
        <v>19</v>
      </c>
      <c r="F7" s="6" t="str">
        <f t="shared" si="0"/>
        <v>No</v>
      </c>
      <c r="G7" s="7" t="str">
        <f t="shared" si="1"/>
        <v>Not Eligible</v>
      </c>
      <c r="H7" s="8" t="str">
        <f t="shared" si="2"/>
        <v>5%</v>
      </c>
      <c r="I7" s="9">
        <f t="shared" si="3"/>
        <v>4.5</v>
      </c>
      <c r="J7" s="10" t="str">
        <f t="shared" si="4"/>
        <v>Need Improvement</v>
      </c>
      <c r="K7" s="1" t="str">
        <f t="shared" si="5"/>
        <v>low</v>
      </c>
      <c r="L7" s="11">
        <f t="shared" si="6"/>
        <v>300</v>
      </c>
      <c r="M7" s="10" t="str">
        <f t="shared" si="7"/>
        <v>Not a High Performer</v>
      </c>
    </row>
    <row r="8" spans="1:13" x14ac:dyDescent="0.25">
      <c r="A8" s="1">
        <v>105</v>
      </c>
      <c r="B8" s="3" t="s">
        <v>7</v>
      </c>
      <c r="C8" s="2">
        <v>220</v>
      </c>
      <c r="D8" s="4">
        <v>210</v>
      </c>
      <c r="E8" s="5" t="s">
        <v>16</v>
      </c>
      <c r="F8" s="6" t="str">
        <f t="shared" si="0"/>
        <v>Yes</v>
      </c>
      <c r="G8" s="7" t="str">
        <f t="shared" si="1"/>
        <v>Eligible</v>
      </c>
      <c r="H8" s="8" t="str">
        <f t="shared" si="2"/>
        <v>10%</v>
      </c>
      <c r="I8" s="9">
        <f t="shared" si="3"/>
        <v>22</v>
      </c>
      <c r="J8" s="10" t="str">
        <f t="shared" si="4"/>
        <v>Excellent</v>
      </c>
      <c r="K8" s="1" t="str">
        <f t="shared" si="5"/>
        <v>High</v>
      </c>
      <c r="L8" s="11">
        <f t="shared" si="6"/>
        <v>500</v>
      </c>
      <c r="M8" s="10" t="str">
        <f t="shared" si="7"/>
        <v>High Performer</v>
      </c>
    </row>
    <row r="9" spans="1:13" x14ac:dyDescent="0.25">
      <c r="A9" s="1">
        <v>106</v>
      </c>
      <c r="B9" s="3" t="s">
        <v>8</v>
      </c>
      <c r="C9" s="2">
        <v>130</v>
      </c>
      <c r="D9" s="4">
        <v>160</v>
      </c>
      <c r="E9" s="5" t="s">
        <v>17</v>
      </c>
      <c r="F9" s="6" t="str">
        <f t="shared" si="0"/>
        <v>No</v>
      </c>
      <c r="G9" s="7" t="str">
        <f t="shared" si="1"/>
        <v>Not Eligible</v>
      </c>
      <c r="H9" s="8" t="str">
        <f t="shared" si="2"/>
        <v>5%</v>
      </c>
      <c r="I9" s="9">
        <f t="shared" si="3"/>
        <v>6.5</v>
      </c>
      <c r="J9" s="10" t="str">
        <f t="shared" si="4"/>
        <v>Need Improvement</v>
      </c>
      <c r="K9" s="1" t="str">
        <f t="shared" si="5"/>
        <v>Medium</v>
      </c>
      <c r="L9" s="11">
        <f t="shared" si="6"/>
        <v>300</v>
      </c>
      <c r="M9" s="10" t="str">
        <f t="shared" si="7"/>
        <v>Not a High Performer</v>
      </c>
    </row>
  </sheetData>
  <mergeCells count="1">
    <mergeCell ref="H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D13E0-E312-4341-BC33-FB54AC4F8DA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vlookup worksheet 1</vt:lpstr>
      <vt:lpstr>vlookup worksheet 2</vt:lpstr>
      <vt:lpstr>IF Statement</vt:lpstr>
      <vt:lpstr>Q1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Rishov Basak</dc:creator>
  <cp:lastModifiedBy>Rishov Basak</cp:lastModifiedBy>
  <dcterms:created xsi:type="dcterms:W3CDTF">2025-11-27T09:41:25Z</dcterms:created>
  <dcterms:modified xsi:type="dcterms:W3CDTF">2025-11-27T10:33:52Z</dcterms:modified>
</cp:coreProperties>
</file>