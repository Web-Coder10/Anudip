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dc61263e056bfa/Documents/"/>
    </mc:Choice>
  </mc:AlternateContent>
  <xr:revisionPtr revIDLastSave="253" documentId="8_{31814F5B-2001-4B3F-BC60-5B17EF7CF7F3}" xr6:coauthVersionLast="47" xr6:coauthVersionMax="47" xr10:uidLastSave="{3F4289CC-EC95-4CA7-AA18-C4A7823EB10C}"/>
  <bookViews>
    <workbookView xWindow="-120" yWindow="-120" windowWidth="20730" windowHeight="11040" activeTab="1" xr2:uid="{2AE55FA6-A5F8-41DA-9375-EF0E15ABC6E4}"/>
  </bookViews>
  <sheets>
    <sheet name="Product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16" i="1"/>
  <c r="B15" i="1"/>
  <c r="D6" i="1"/>
  <c r="D7" i="1"/>
  <c r="D8" i="1"/>
  <c r="D9" i="1"/>
  <c r="D10" i="1"/>
  <c r="D5" i="1"/>
  <c r="A13" i="2"/>
  <c r="H6" i="2"/>
  <c r="H7" i="2"/>
  <c r="H8" i="2"/>
  <c r="H9" i="2"/>
  <c r="H10" i="2"/>
  <c r="H5" i="2"/>
  <c r="G6" i="2"/>
  <c r="G7" i="2"/>
  <c r="G8" i="2"/>
  <c r="G9" i="2"/>
  <c r="G10" i="2"/>
  <c r="G5" i="2"/>
  <c r="F6" i="2"/>
  <c r="F7" i="2"/>
  <c r="F8" i="2"/>
  <c r="F9" i="2"/>
  <c r="F10" i="2"/>
  <c r="F5" i="2"/>
  <c r="E6" i="2"/>
  <c r="E7" i="2"/>
  <c r="E8" i="2"/>
  <c r="E9" i="2"/>
  <c r="E10" i="2"/>
  <c r="E5" i="2"/>
  <c r="D6" i="2"/>
  <c r="D7" i="2"/>
  <c r="D8" i="2"/>
  <c r="D9" i="2"/>
  <c r="D10" i="2"/>
  <c r="D5" i="2"/>
</calcChain>
</file>

<file path=xl/sharedStrings.xml><?xml version="1.0" encoding="utf-8"?>
<sst xmlns="http://schemas.openxmlformats.org/spreadsheetml/2006/main" count="32" uniqueCount="22">
  <si>
    <t>VLookUp Exercises</t>
  </si>
  <si>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</si>
  <si>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</si>
  <si>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</si>
  <si>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</si>
  <si>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</si>
  <si>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</si>
  <si>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</si>
  <si>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</si>
  <si>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</si>
  <si>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Products</t>
  </si>
  <si>
    <t>Orders</t>
  </si>
  <si>
    <t>Order ID</t>
  </si>
  <si>
    <t>Product ID</t>
  </si>
  <si>
    <t>Quantity</t>
  </si>
  <si>
    <t>Total Price</t>
  </si>
  <si>
    <t>Product Name</t>
  </si>
  <si>
    <t>Product Price</t>
  </si>
  <si>
    <t>Discounted Price</t>
  </si>
  <si>
    <t>Maximum Order Value</t>
  </si>
  <si>
    <t>Ordered or Not Ordered</t>
  </si>
  <si>
    <t>Total Qty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</si>
</sst>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center"/>
    </xf>
    <xf numFmtId="0" fontId="1" fillId="2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5" borderId="1" xfId="0" applyFill="1" applyBorder="1"/>
    <xf numFmtId="0" fontId="1" fillId="6" borderId="1" xfId="0" applyFont="1" applyFill="1" applyBorder="1"/>
    <xf numFmtId="0" fontId="0" fillId="7" borderId="1" xfId="0" applyFill="1" applyBorder="1"/>
    <xf numFmtId="0" fontId="1" fillId="8" borderId="1" xfId="0" applyFont="1" applyFill="1" applyBorder="1"/>
    <xf numFmtId="0" fontId="0" fillId="9" borderId="1" xfId="0" applyFill="1" applyBorder="1"/>
    <xf numFmtId="0" fontId="0" fillId="10" borderId="1" xfId="0" applyFill="1" applyBorder="1"/>
    <xf numFmtId="0" fontId="1" fillId="11" borderId="1" xfId="0" applyFont="1" applyFill="1" applyBorder="1"/>
    <xf numFmtId="0" fontId="0" fillId="13" borderId="1" xfId="0" applyFill="1" applyBorder="1"/>
    <xf numFmtId="0" fontId="0" fillId="14" borderId="1" xfId="0" applyFill="1" applyBorder="1"/>
    <xf numFmtId="0" fontId="3" fillId="0" borderId="0" xfId="0" applyFont="1" applyAlignment="1">
      <alignment horizontal="center"/>
    </xf>
    <xf numFmtId="0" fontId="1" fillId="12" borderId="1" xfId="0" applyFont="1" applyFill="1" applyBorder="1"/>
    <xf numFmtId="0" fontId="1" fillId="15" borderId="1" xfId="0" applyFont="1" applyFill="1" applyBorder="1"/>
    <xf numFmtId="0" fontId="1" fillId="16" borderId="1" xfId="0" applyFont="1" applyFill="1" applyBorder="1"/>
    <xf numFmtId="0" fontId="0" fillId="17" borderId="1" xfId="0" applyFill="1" applyBorder="1"/>
    <xf numFmtId="0" fontId="1" fillId="18" borderId="1" xfId="0" applyFont="1" applyFill="1" applyBorder="1"/>
    <xf numFmtId="0" fontId="0" fillId="19" borderId="1" xfId="0" applyFill="1" applyBorder="1"/>
    <xf numFmtId="0" fontId="0" fillId="20" borderId="1" xfId="0" applyFill="1" applyBorder="1"/>
    <xf numFmtId="0" fontId="1" fillId="21" borderId="1" xfId="0" applyFont="1" applyFill="1" applyBorder="1"/>
    <xf numFmtId="0" fontId="0" fillId="22" borderId="1" xfId="0" applyFill="1" applyBorder="1"/>
    <xf numFmtId="0" fontId="1" fillId="23" borderId="1" xfId="0" applyFont="1" applyFill="1" applyBorder="1"/>
    <xf numFmtId="0" fontId="0" fillId="24" borderId="1" xfId="0" applyFill="1" applyBorder="1"/>
    <xf numFmtId="0" fontId="1" fillId="25" borderId="1" xfId="0" applyFont="1" applyFill="1" applyBorder="1"/>
    <xf numFmtId="0" fontId="0" fillId="26" borderId="1" xfId="0" applyFill="1" applyBorder="1"/>
    <xf numFmtId="0" fontId="0" fillId="27" borderId="1" xfId="0" applyFill="1" applyBorder="1"/>
    <xf numFmtId="0" fontId="1" fillId="4" borderId="1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B94AC-E851-4010-B081-8C5AB38F8AAF}">
  <dimension ref="A1:I20"/>
  <sheetViews>
    <sheetView workbookViewId="0">
      <selection activeCell="H2" sqref="H2:I2"/>
    </sheetView>
  </sheetViews>
  <sheetFormatPr defaultRowHeight="15" x14ac:dyDescent="0.25"/>
  <cols>
    <col min="1" max="1" width="14.5703125" customWidth="1"/>
    <col min="2" max="2" width="12.85546875" customWidth="1"/>
    <col min="3" max="3" width="7.42578125" customWidth="1"/>
    <col min="4" max="4" width="23.42578125" customWidth="1"/>
    <col min="5" max="5" width="9.85546875" customWidth="1"/>
    <col min="6" max="6" width="13.7109375" customWidth="1"/>
    <col min="7" max="7" width="9.42578125" customWidth="1"/>
    <col min="8" max="8" width="20.42578125" customWidth="1"/>
    <col min="9" max="9" width="21.85546875" customWidth="1"/>
  </cols>
  <sheetData>
    <row r="1" spans="1:9" ht="31.5" x14ac:dyDescent="0.5">
      <c r="H1" s="14" t="s">
        <v>0</v>
      </c>
      <c r="I1" s="14"/>
    </row>
    <row r="2" spans="1:9" ht="26.25" x14ac:dyDescent="0.4">
      <c r="H2" s="1" t="s">
        <v>10</v>
      </c>
      <c r="I2" s="1"/>
    </row>
    <row r="4" spans="1:9" x14ac:dyDescent="0.25">
      <c r="A4" s="2" t="s">
        <v>1</v>
      </c>
      <c r="B4" s="4" t="s">
        <v>2</v>
      </c>
      <c r="C4" s="6" t="s">
        <v>3</v>
      </c>
      <c r="D4" s="8" t="s">
        <v>20</v>
      </c>
      <c r="E4" s="11" t="s">
        <v>1</v>
      </c>
    </row>
    <row r="5" spans="1:9" x14ac:dyDescent="0.25">
      <c r="A5" s="3">
        <v>101</v>
      </c>
      <c r="B5" s="5" t="s">
        <v>4</v>
      </c>
      <c r="C5" s="7">
        <v>120</v>
      </c>
      <c r="D5" s="9" t="str">
        <f>IF(ISNA(VLOOKUP(A5,Orders!$B$5:$B$10,1,FALSE)),"Not Ordered","Ordered")</f>
        <v>Ordered</v>
      </c>
      <c r="E5" s="10">
        <v>101</v>
      </c>
    </row>
    <row r="6" spans="1:9" x14ac:dyDescent="0.25">
      <c r="A6" s="3">
        <v>102</v>
      </c>
      <c r="B6" s="5" t="s">
        <v>5</v>
      </c>
      <c r="C6" s="7">
        <v>150</v>
      </c>
      <c r="D6" s="9" t="str">
        <f>IF(ISNA(VLOOKUP(A6,Orders!$B$5:$B$10,1,FALSE)),"Not Ordered","Ordered")</f>
        <v>Ordered</v>
      </c>
      <c r="E6" s="10">
        <v>102</v>
      </c>
    </row>
    <row r="7" spans="1:9" x14ac:dyDescent="0.25">
      <c r="A7" s="3">
        <v>103</v>
      </c>
      <c r="B7" s="5" t="s">
        <v>6</v>
      </c>
      <c r="C7" s="7">
        <v>200</v>
      </c>
      <c r="D7" s="9" t="str">
        <f>IF(ISNA(VLOOKUP(A7,Orders!$B$5:$B$10,1,FALSE)),"Not Ordered","Ordered")</f>
        <v>Ordered</v>
      </c>
      <c r="E7" s="10">
        <v>103</v>
      </c>
    </row>
    <row r="8" spans="1:9" x14ac:dyDescent="0.25">
      <c r="A8" s="3">
        <v>104</v>
      </c>
      <c r="B8" s="5" t="s">
        <v>7</v>
      </c>
      <c r="C8" s="7">
        <v>90</v>
      </c>
      <c r="D8" s="9" t="str">
        <f>IF(ISNA(VLOOKUP(A8,Orders!$B$5:$B$10,1,FALSE)),"Not Ordered","Ordered")</f>
        <v>Ordered</v>
      </c>
      <c r="E8" s="10">
        <v>104</v>
      </c>
    </row>
    <row r="9" spans="1:9" x14ac:dyDescent="0.25">
      <c r="A9" s="3">
        <v>105</v>
      </c>
      <c r="B9" s="5" t="s">
        <v>8</v>
      </c>
      <c r="C9" s="7">
        <v>220</v>
      </c>
      <c r="D9" s="9" t="str">
        <f>IF(ISNA(VLOOKUP(A9,Orders!$B$5:$B$10,1,FALSE)),"Not Ordered","Ordered")</f>
        <v>Ordered</v>
      </c>
      <c r="E9" s="10">
        <v>105</v>
      </c>
    </row>
    <row r="10" spans="1:9" x14ac:dyDescent="0.25">
      <c r="A10" s="3">
        <v>106</v>
      </c>
      <c r="B10" s="5" t="s">
        <v>9</v>
      </c>
      <c r="C10" s="7">
        <v>130</v>
      </c>
      <c r="D10" s="9" t="str">
        <f>IF(ISNA(VLOOKUP(A10,Orders!$B$5:$B$10,1,FALSE)),"Not Ordered","Ordered")</f>
        <v>Ordered</v>
      </c>
      <c r="E10" s="10">
        <v>106</v>
      </c>
    </row>
    <row r="14" spans="1:9" x14ac:dyDescent="0.25">
      <c r="A14" s="15" t="s">
        <v>16</v>
      </c>
      <c r="B14" s="16" t="s">
        <v>21</v>
      </c>
    </row>
    <row r="15" spans="1:9" x14ac:dyDescent="0.25">
      <c r="A15" s="12" t="s">
        <v>4</v>
      </c>
      <c r="B15" s="13">
        <f>SUMIF(Orders!B:B,101,Orders!C:C)</f>
        <v>2</v>
      </c>
    </row>
    <row r="16" spans="1:9" x14ac:dyDescent="0.25">
      <c r="A16" s="12" t="s">
        <v>5</v>
      </c>
      <c r="B16" s="13">
        <f>SUMIF(Orders!B:B,102,Orders!C:C)</f>
        <v>5</v>
      </c>
    </row>
    <row r="17" spans="1:2" x14ac:dyDescent="0.25">
      <c r="A17" s="12" t="s">
        <v>6</v>
      </c>
      <c r="B17" s="13">
        <f>SUMIF(Orders!B:B,103,Orders!C:C)</f>
        <v>1</v>
      </c>
    </row>
    <row r="18" spans="1:2" x14ac:dyDescent="0.25">
      <c r="A18" s="12" t="s">
        <v>7</v>
      </c>
      <c r="B18" s="13">
        <f>SUMIF(Orders!B:B,104,Orders!C:C)</f>
        <v>6</v>
      </c>
    </row>
    <row r="19" spans="1:2" x14ac:dyDescent="0.25">
      <c r="A19" s="12" t="s">
        <v>8</v>
      </c>
      <c r="B19" s="13">
        <f>SUMIF(Orders!B:B,105,Orders!C:C)</f>
        <v>4</v>
      </c>
    </row>
    <row r="20" spans="1:2" x14ac:dyDescent="0.25">
      <c r="A20" s="12" t="s">
        <v>9</v>
      </c>
      <c r="B20" s="13">
        <f>SUMIF(Orders!B:B,106,Orders!C:C)</f>
        <v>3</v>
      </c>
    </row>
  </sheetData>
  <mergeCells count="2">
    <mergeCell ref="H2:I2"/>
    <mergeCell ref="H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7B4E-0930-4D3D-AA41-C13DB88C9BA8}">
  <dimension ref="A1:I13"/>
  <sheetViews>
    <sheetView tabSelected="1" workbookViewId="0">
      <selection activeCell="A13" sqref="A13:C13"/>
    </sheetView>
  </sheetViews>
  <sheetFormatPr defaultRowHeight="15" x14ac:dyDescent="0.25"/>
  <cols>
    <col min="1" max="1" width="9.140625" customWidth="1"/>
    <col min="2" max="2" width="10.28515625" customWidth="1"/>
    <col min="4" max="4" width="14.140625" customWidth="1"/>
    <col min="5" max="5" width="12.7109375" customWidth="1"/>
    <col min="6" max="6" width="10.5703125" customWidth="1"/>
    <col min="7" max="7" width="10.28515625" customWidth="1"/>
    <col min="8" max="8" width="23" customWidth="1"/>
    <col min="9" max="9" width="20.140625" customWidth="1"/>
  </cols>
  <sheetData>
    <row r="1" spans="1:9" ht="31.5" x14ac:dyDescent="0.5">
      <c r="H1" s="14" t="s">
        <v>0</v>
      </c>
      <c r="I1" s="14"/>
    </row>
    <row r="2" spans="1:9" ht="26.25" x14ac:dyDescent="0.4">
      <c r="H2" s="1" t="s">
        <v>11</v>
      </c>
      <c r="I2" s="1"/>
    </row>
    <row r="4" spans="1:9" x14ac:dyDescent="0.25">
      <c r="A4" s="17" t="s">
        <v>12</v>
      </c>
      <c r="B4" s="19" t="s">
        <v>13</v>
      </c>
      <c r="C4" s="15" t="s">
        <v>14</v>
      </c>
      <c r="D4" s="22" t="s">
        <v>16</v>
      </c>
      <c r="E4" s="24" t="s">
        <v>17</v>
      </c>
      <c r="F4" s="11" t="s">
        <v>15</v>
      </c>
      <c r="G4" s="26" t="s">
        <v>13</v>
      </c>
      <c r="H4" s="16" t="s">
        <v>18</v>
      </c>
    </row>
    <row r="5" spans="1:9" x14ac:dyDescent="0.25">
      <c r="A5" s="18">
        <v>1</v>
      </c>
      <c r="B5" s="20">
        <v>101</v>
      </c>
      <c r="C5" s="21">
        <v>2</v>
      </c>
      <c r="D5" s="23" t="str">
        <f>VLOOKUP(B5,Products!$A$5:$C$10,2,FALSE)</f>
        <v>Product A</v>
      </c>
      <c r="E5" s="25">
        <f>VLOOKUP(B5,Products!$A$5:$C$10,3,FALSE)</f>
        <v>120</v>
      </c>
      <c r="F5" s="10">
        <f>E5*C5</f>
        <v>240</v>
      </c>
      <c r="G5" s="27" t="str">
        <f>IF(ISNA(VLOOKUP(B5,Products!$A$5:$A$10,1,FALSE)),"Not Found","Exists")</f>
        <v>Exists</v>
      </c>
      <c r="H5" s="28">
        <f>E5*0.9</f>
        <v>108</v>
      </c>
    </row>
    <row r="6" spans="1:9" x14ac:dyDescent="0.25">
      <c r="A6" s="18">
        <v>2</v>
      </c>
      <c r="B6" s="20">
        <v>103</v>
      </c>
      <c r="C6" s="21">
        <v>1</v>
      </c>
      <c r="D6" s="23" t="str">
        <f>VLOOKUP(B6,Products!$A$5:$C$10,2,FALSE)</f>
        <v>Product C</v>
      </c>
      <c r="E6" s="25">
        <f>VLOOKUP(B6,Products!$A$5:$C$10,3,FALSE)</f>
        <v>200</v>
      </c>
      <c r="F6" s="10">
        <f t="shared" ref="F6:F10" si="0">E6*C6</f>
        <v>200</v>
      </c>
      <c r="G6" s="27" t="str">
        <f>IF(ISNA(VLOOKUP(B6,Products!$A$5:$A$10,1,FALSE)),"Not Found","Exists")</f>
        <v>Exists</v>
      </c>
      <c r="H6" s="28">
        <f t="shared" ref="H6:H10" si="1">E6*0.9</f>
        <v>180</v>
      </c>
    </row>
    <row r="7" spans="1:9" x14ac:dyDescent="0.25">
      <c r="A7" s="18">
        <v>3</v>
      </c>
      <c r="B7" s="20">
        <v>105</v>
      </c>
      <c r="C7" s="21">
        <v>4</v>
      </c>
      <c r="D7" s="23" t="str">
        <f>VLOOKUP(B7,Products!$A$5:$C$10,2,FALSE)</f>
        <v>Product E</v>
      </c>
      <c r="E7" s="25">
        <f>VLOOKUP(B7,Products!$A$5:$C$10,3,FALSE)</f>
        <v>220</v>
      </c>
      <c r="F7" s="10">
        <f t="shared" si="0"/>
        <v>880</v>
      </c>
      <c r="G7" s="27" t="str">
        <f>IF(ISNA(VLOOKUP(B7,Products!$A$5:$A$10,1,FALSE)),"Not Found","Exists")</f>
        <v>Exists</v>
      </c>
      <c r="H7" s="28">
        <f t="shared" si="1"/>
        <v>198</v>
      </c>
    </row>
    <row r="8" spans="1:9" x14ac:dyDescent="0.25">
      <c r="A8" s="18">
        <v>4</v>
      </c>
      <c r="B8" s="20">
        <v>106</v>
      </c>
      <c r="C8" s="21">
        <v>3</v>
      </c>
      <c r="D8" s="23" t="str">
        <f>VLOOKUP(B8,Products!$A$5:$C$10,2,FALSE)</f>
        <v>Product F</v>
      </c>
      <c r="E8" s="25">
        <f>VLOOKUP(B8,Products!$A$5:$C$10,3,FALSE)</f>
        <v>130</v>
      </c>
      <c r="F8" s="10">
        <f t="shared" si="0"/>
        <v>390</v>
      </c>
      <c r="G8" s="27" t="str">
        <f>IF(ISNA(VLOOKUP(B8,Products!$A$5:$A$10,1,FALSE)),"Not Found","Exists")</f>
        <v>Exists</v>
      </c>
      <c r="H8" s="28">
        <f t="shared" si="1"/>
        <v>117</v>
      </c>
    </row>
    <row r="9" spans="1:9" x14ac:dyDescent="0.25">
      <c r="A9" s="18">
        <v>5</v>
      </c>
      <c r="B9" s="20">
        <v>102</v>
      </c>
      <c r="C9" s="21">
        <v>5</v>
      </c>
      <c r="D9" s="23" t="str">
        <f>VLOOKUP(B9,Products!$A$5:$C$10,2,FALSE)</f>
        <v>Product B</v>
      </c>
      <c r="E9" s="25">
        <f>VLOOKUP(B9,Products!$A$5:$C$10,3,FALSE)</f>
        <v>150</v>
      </c>
      <c r="F9" s="10">
        <f t="shared" si="0"/>
        <v>750</v>
      </c>
      <c r="G9" s="27" t="str">
        <f>IF(ISNA(VLOOKUP(B9,Products!$A$5:$A$10,1,FALSE)),"Not Found","Exists")</f>
        <v>Exists</v>
      </c>
      <c r="H9" s="28">
        <f t="shared" si="1"/>
        <v>135</v>
      </c>
    </row>
    <row r="10" spans="1:9" x14ac:dyDescent="0.25">
      <c r="A10" s="18">
        <v>6</v>
      </c>
      <c r="B10" s="20">
        <v>104</v>
      </c>
      <c r="C10" s="21">
        <v>6</v>
      </c>
      <c r="D10" s="23" t="str">
        <f>VLOOKUP(B10,Products!$A$5:$C$10,2,FALSE)</f>
        <v>Product D</v>
      </c>
      <c r="E10" s="25">
        <f>VLOOKUP(B10,Products!$A$5:$C$10,3,FALSE)</f>
        <v>90</v>
      </c>
      <c r="F10" s="10">
        <f t="shared" si="0"/>
        <v>540</v>
      </c>
      <c r="G10" s="27" t="str">
        <f>IF(ISNA(VLOOKUP(B10,Products!$A$5:$A$10,1,FALSE)),"Not Found","Exists")</f>
        <v>Exists</v>
      </c>
      <c r="H10" s="28">
        <f t="shared" si="1"/>
        <v>81</v>
      </c>
    </row>
    <row r="12" spans="1:9" x14ac:dyDescent="0.25">
      <c r="A12" s="29" t="s">
        <v>19</v>
      </c>
      <c r="B12" s="29"/>
      <c r="C12" s="29"/>
    </row>
    <row r="13" spans="1:9" x14ac:dyDescent="0.25">
      <c r="A13" s="30">
        <f>MAX(F5:F10)</f>
        <v>880</v>
      </c>
      <c r="B13" s="31"/>
      <c r="C13" s="32"/>
    </row>
  </sheetData>
  <mergeCells count="4">
    <mergeCell ref="H2:I2"/>
    <mergeCell ref="A12:C12"/>
    <mergeCell ref="H1:I1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Rishov Basak</dc:creator>
  <cp:lastModifiedBy>Rishov Basak</cp:lastModifiedBy>
  <dcterms:created xsi:type="dcterms:W3CDTF">2025-11-27T12:23:47Z</dcterms:created>
  <dcterms:modified xsi:type="dcterms:W3CDTF">2025-11-27T13:45:44Z</dcterms:modified>
</cp:coreProperties>
</file>